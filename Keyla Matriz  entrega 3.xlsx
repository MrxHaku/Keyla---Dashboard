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sagarcia/Downloads/"/>
    </mc:Choice>
  </mc:AlternateContent>
  <xr:revisionPtr revIDLastSave="0" documentId="13_ncr:1_{750B3E02-E125-BB4F-AE4B-ABB9CFBE279D}" xr6:coauthVersionLast="47" xr6:coauthVersionMax="47" xr10:uidLastSave="{00000000-0000-0000-0000-000000000000}"/>
  <bookViews>
    <workbookView xWindow="10860" yWindow="500" windowWidth="17940" windowHeight="15960" activeTab="1" xr2:uid="{4086443E-C611-44C4-AD30-3154F261999E}"/>
  </bookViews>
  <sheets>
    <sheet name="Lista Objetivos" sheetId="2" state="hidden" r:id="rId1"/>
    <sheet name="Comunicaciones " sheetId="5" r:id="rId2"/>
    <sheet name="Hoja1" sheetId="6" r:id="rId3"/>
    <sheet name="Colaboradore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5" l="1"/>
  <c r="Q10" i="5"/>
  <c r="Q12" i="5"/>
  <c r="P14" i="5"/>
  <c r="P13" i="5"/>
  <c r="P10" i="5"/>
  <c r="E18" i="3"/>
</calcChain>
</file>

<file path=xl/sharedStrings.xml><?xml version="1.0" encoding="utf-8"?>
<sst xmlns="http://schemas.openxmlformats.org/spreadsheetml/2006/main" count="172" uniqueCount="132">
  <si>
    <t>Objetivos Estrategicos</t>
  </si>
  <si>
    <t>CRECER EN UTILIDAD Y RETORNO ESPERADO PARA NUESTROS ACCIONISTAS</t>
  </si>
  <si>
    <t>DIVERSIFICAR INGRESOS EN NUEVAS GEOGRAFÍAS Y NEGOCIOS</t>
  </si>
  <si>
    <t>FORTALECER LA PROPUESTA DE VALOR PARA NUESTROS CLIENTES</t>
  </si>
  <si>
    <t>GARANTIZAR LA EXCELENCIA OPERACIONAL</t>
  </si>
  <si>
    <t>FORTALECER EL DESARROLLO DE PROVEEDORES Y CONTRATISTAS</t>
  </si>
  <si>
    <t>FORTALECER EL DESARROLLO INTEGRAL DE NUESTROS COLABORADORES</t>
  </si>
  <si>
    <t>ASEGURAR UNA OPERACIÓN AMBIENTALMENTE RESPONSABLE</t>
  </si>
  <si>
    <t>FORTALECER LAS RELACIONES CON LAS COMUNIDADES</t>
  </si>
  <si>
    <t>INDICADORES DE GESTION DE DESEMPEÑO 2024</t>
  </si>
  <si>
    <t>Cedula</t>
  </si>
  <si>
    <t>Nombre</t>
  </si>
  <si>
    <t>Cargo</t>
  </si>
  <si>
    <t>Gerencia</t>
  </si>
  <si>
    <t>Dimension</t>
  </si>
  <si>
    <t>Objetivo Estrategico</t>
  </si>
  <si>
    <t>Nombre del Indicador</t>
  </si>
  <si>
    <t>Métrica</t>
  </si>
  <si>
    <t>Peso</t>
  </si>
  <si>
    <t>Tipo (directo / Inverso)</t>
  </si>
  <si>
    <t>Frecuencia (anual/ mensual)</t>
  </si>
  <si>
    <t>Meta</t>
  </si>
  <si>
    <t>Fuente</t>
  </si>
  <si>
    <t>Transversal</t>
  </si>
  <si>
    <t>Directo</t>
  </si>
  <si>
    <t>Anual</t>
  </si>
  <si>
    <t>Certificado de area de HSEQ de emisiones 2024</t>
  </si>
  <si>
    <t>Evolución de la cultura requerida para habilitar la estrategia</t>
  </si>
  <si>
    <r>
      <t xml:space="preserve">Resultado de a la encuesta de </t>
    </r>
    <r>
      <rPr>
        <b/>
        <sz val="11"/>
        <color theme="1"/>
        <rFont val="Aptos Narrow"/>
        <family val="2"/>
        <scheme val="minor"/>
      </rPr>
      <t>medición ADK</t>
    </r>
    <r>
      <rPr>
        <sz val="11"/>
        <color theme="1"/>
        <rFont val="Aptos Narrow"/>
        <family val="2"/>
        <scheme val="minor"/>
      </rPr>
      <t xml:space="preserve"> de la metodología (Conciencia, deseo y conocimiento)</t>
    </r>
  </si>
  <si>
    <t>Informe PROSCI</t>
  </si>
  <si>
    <t>Compliance</t>
  </si>
  <si>
    <r>
      <t>1. Asistencia a</t>
    </r>
    <r>
      <rPr>
        <b/>
        <sz val="11"/>
        <color theme="1"/>
        <rFont val="Aptos Narrow"/>
        <family val="2"/>
        <scheme val="minor"/>
      </rPr>
      <t xml:space="preserve"> capacitaciones</t>
    </r>
    <r>
      <rPr>
        <sz val="11"/>
        <color theme="1"/>
        <rFont val="Aptos Narrow"/>
        <family val="2"/>
        <scheme val="minor"/>
      </rPr>
      <t xml:space="preserve"> planeadas por el áreas de Riesgos y Cumplimiento y ejecutadas en el tiempo establecido.
2. Cumplimiento al </t>
    </r>
    <r>
      <rPr>
        <b/>
        <sz val="11"/>
        <color theme="1"/>
        <rFont val="Aptos Narrow"/>
        <family val="2"/>
        <scheme val="minor"/>
      </rPr>
      <t>Plan de accion de auditoria Interna</t>
    </r>
    <r>
      <rPr>
        <sz val="11"/>
        <color theme="1"/>
        <rFont val="Aptos Narrow"/>
        <family val="2"/>
        <scheme val="minor"/>
      </rPr>
      <t xml:space="preserve"> de la compañía al cierre del año.
3. Efectividad de control SOX relacionado con la </t>
    </r>
    <r>
      <rPr>
        <b/>
        <sz val="11"/>
        <color theme="1"/>
        <rFont val="Aptos Narrow"/>
        <family val="2"/>
        <scheme val="minor"/>
      </rPr>
      <t>Revisión y actualización de documentación</t>
    </r>
    <r>
      <rPr>
        <sz val="11"/>
        <color theme="1"/>
        <rFont val="Aptos Narrow"/>
        <family val="2"/>
        <scheme val="minor"/>
      </rPr>
      <t>.</t>
    </r>
  </si>
  <si>
    <t>1. Informe de Riesgos y cumplimientos sobre capacitaciones anuales.
2. Informe de cumplimiento de planes de Auditoria interna
3. Reporte de deficiencias de control SOX</t>
  </si>
  <si>
    <t>Gastos Gestionables del area</t>
  </si>
  <si>
    <t>Gasto gestionable del area real / Gasto gestionable presupuestado. Si el resultado es inferior al 85% el logro es 0%.</t>
  </si>
  <si>
    <t>Inverso</t>
  </si>
  <si>
    <t>Reporte de Planeacion finaciera</t>
  </si>
  <si>
    <t>Total</t>
  </si>
  <si>
    <t>Huella de Carbono</t>
  </si>
  <si>
    <r>
      <t xml:space="preserve">Reduccion de Ton CO2 equivalente entre año 2023 y 2024. Aplica para alcance 2: </t>
    </r>
    <r>
      <rPr>
        <b/>
        <sz val="11"/>
        <color theme="1"/>
        <rFont val="Aptos Narrow"/>
        <family val="2"/>
        <scheme val="minor"/>
      </rPr>
      <t>Consumo de energia</t>
    </r>
  </si>
  <si>
    <t>Indice de accidentes incapacitantes (LTIFR)</t>
  </si>
  <si>
    <r>
      <t>Numero de</t>
    </r>
    <r>
      <rPr>
        <b/>
        <sz val="11"/>
        <rFont val="Aptos Narrow"/>
        <family val="2"/>
        <scheme val="minor"/>
      </rPr>
      <t xml:space="preserve"> accidentes incapacitantes</t>
    </r>
    <r>
      <rPr>
        <sz val="11"/>
        <rFont val="Aptos Narrow"/>
        <family val="2"/>
        <scheme val="minor"/>
      </rPr>
      <t xml:space="preserve"> / Horas Hombre trabajadas * (constante: 200.000)</t>
    </r>
  </si>
  <si>
    <t>Reporte de accidentlidad (colaboradores + contratistas)</t>
  </si>
  <si>
    <t>Individulaes</t>
  </si>
  <si>
    <t xml:space="preserve">Descripción </t>
  </si>
  <si>
    <t xml:space="preserve">Metodología </t>
  </si>
  <si>
    <t>Objetivo estratégico de la empresa</t>
  </si>
  <si>
    <t>Nombre del indicador</t>
  </si>
  <si>
    <t>Semestral</t>
  </si>
  <si>
    <t>Repositorio institucional / archivos del semillero</t>
  </si>
  <si>
    <t>Cronogramas de proyectos</t>
  </si>
  <si>
    <t xml:space="preserve">PM | Publicaciones maquetadas </t>
  </si>
  <si>
    <t>TP | Tiempo producción</t>
  </si>
  <si>
    <r>
      <t xml:space="preserve">Fortalecer la calidad, visibilidad y circulación del conocimiento entre la comunidad académica de la </t>
    </r>
    <r>
      <rPr>
        <b/>
        <sz val="11"/>
        <color theme="1"/>
        <rFont val="Aptos Narrow"/>
        <family val="2"/>
        <scheme val="minor"/>
      </rPr>
      <t>Institución Universitaria Antonio José Camacho</t>
    </r>
    <r>
      <rPr>
        <sz val="11"/>
        <color theme="1"/>
        <rFont val="Aptos Narrow"/>
        <family val="2"/>
        <scheme val="minor"/>
      </rPr>
      <t>.</t>
    </r>
  </si>
  <si>
    <t>Objetivo general de comunicación estratégica</t>
  </si>
  <si>
    <r>
      <t xml:space="preserve">Consolidar el </t>
    </r>
    <r>
      <rPr>
        <b/>
        <sz val="11"/>
        <color theme="1"/>
        <rFont val="Aptos Narrow"/>
        <family val="2"/>
        <scheme val="minor"/>
      </rPr>
      <t>semillero Alografía</t>
    </r>
    <r>
      <rPr>
        <sz val="11"/>
        <color theme="1"/>
        <rFont val="Aptos Narrow"/>
        <family val="2"/>
        <scheme val="minor"/>
      </rPr>
      <t xml:space="preserve"> como una unidad de apoyo editorial institucional mediante la gestión, diseño y producción de publicaciones académicas, pasando de la publicación de 2 revistas permanentes en 2025, a 4 cartillas y 4 libros adicionales a diciembre de 2026 (Aumento del volumen de producción del 400%).
</t>
    </r>
    <r>
      <rPr>
        <b/>
        <sz val="9"/>
        <color theme="1"/>
        <rFont val="Aptos Narrow"/>
        <family val="2"/>
        <scheme val="minor"/>
      </rPr>
      <t>*Anotación:</t>
    </r>
    <r>
      <rPr>
        <sz val="9"/>
        <color theme="1"/>
        <rFont val="Aptos Narrow"/>
        <family val="2"/>
        <scheme val="minor"/>
      </rPr>
      <t xml:space="preserve"> El semillero funciona como un Inhouse que apoya la producción editorial de otros semilleros de la institución.</t>
    </r>
  </si>
  <si>
    <t xml:space="preserve">APG | Acompañamiento a Proyectos de grado </t>
  </si>
  <si>
    <t>Etapas Necesarias para cumplir el objetivo general de comunicación estratégica</t>
  </si>
  <si>
    <t>Generación de contenido interno</t>
  </si>
  <si>
    <t xml:space="preserve">Aumento de solicitudes externas </t>
  </si>
  <si>
    <t xml:space="preserve">Objetivos específicos de comunicación estratégica </t>
  </si>
  <si>
    <t>Mide la cantidad de proyectos de grado que son acompañados por el semillero y que potencialmente pueden convertirse en productos editoriales institucionales.</t>
  </si>
  <si>
    <t>(Proyectos apoyados / Total de proyectos aprobados para producción editorial institucional) × 100</t>
  </si>
  <si>
    <t>Diseño de productos editoriales</t>
  </si>
  <si>
    <t xml:space="preserve">Mide la articulación del semillero con otros grupos institucionales, que soliciten apoyo para la producción de sus publicaciones académicas institucionales. </t>
  </si>
  <si>
    <t>Mide la cantidad de productos editoriales desarrollados por el semillero</t>
  </si>
  <si>
    <t xml:space="preserve">3 proyectos aprobados para producción editorial (por semestre) </t>
  </si>
  <si>
    <t>Porcentaje (%) de productos editoriales aprobados</t>
  </si>
  <si>
    <t>Cantidad de proyectos activos en grupos institucionales / Cantidad de solicitudes de producción editorial al semillero</t>
  </si>
  <si>
    <t>Número de solicitudes</t>
  </si>
  <si>
    <t>Proyectos activos de grupos institucionales | órdenes de trabajo para el semillero</t>
  </si>
  <si>
    <t>Registros académicos | actas de aprobación de trabajos de grado | Repositorio institucional | Archivo interno del semillero</t>
  </si>
  <si>
    <t>Promedio de días de producción</t>
  </si>
  <si>
    <t>Promedio de días desde que inicia cada proceso hasta la fecha de entrega de los productos editoriales (Se puede discriminar por actividades específicas del proceso editorial)</t>
  </si>
  <si>
    <t>Conteo de publicaciones editoriales finalizadas y aprobadas</t>
  </si>
  <si>
    <t>Número de productos finalizados</t>
  </si>
  <si>
    <t>AC | Apropiación de contenidos</t>
  </si>
  <si>
    <t>Número de lecturas</t>
  </si>
  <si>
    <t>Grado en que la comunidad académica accede, lee e interactúa con los contenidos de las revistas producidas por el semillero</t>
  </si>
  <si>
    <t>Suma de interacciones con las revistas (descargas, visualizaciones y participación en actividades de divulgación) durante el periodo</t>
  </si>
  <si>
    <t>Plataformas digitales (repositorio institucional, web)</t>
  </si>
  <si>
    <t>ASI | Articulación con Semilleros de investigación</t>
  </si>
  <si>
    <t>Incrementar la maquetación periódica a 6 publicaciones académicas.</t>
  </si>
  <si>
    <t>6 productos editoriales</t>
  </si>
  <si>
    <t>Apropiación de conocimiento</t>
  </si>
  <si>
    <t>Fortalecer el acompañamiento editorial a estudiantes que realizan proyectos de grado desde el semillero (Pasar a 3 actualmente 2 proyectos aprobados para producción editorial por semestre).</t>
  </si>
  <si>
    <t>Aumentar las alianzas a 3 con otros semilleros de investigación, aumentando la solicitud de productos editoriales.</t>
  </si>
  <si>
    <t>3 solicitud de producción editorial (por semestre)</t>
  </si>
  <si>
    <t>Incrementar en un 100 interacciones respecto al periodo anterior</t>
  </si>
  <si>
    <t>Incrementar la apropiación de los conocimiento de las revistas académicas (100 interacciones en el semestre)</t>
  </si>
  <si>
    <t>Semillero Alografía</t>
  </si>
  <si>
    <t xml:space="preserve">Institución Universitaria Antonio José Camacho </t>
  </si>
  <si>
    <t>Presentado por: Keyla Tejada Pineda</t>
  </si>
  <si>
    <t>Mide el tiempo de los procesos editoriales: Diagramación, maquetación, corrección de estilo, aprobación del producto y arte finalizado (Actualmente el promedio son 90 días por producto editorial)</t>
  </si>
  <si>
    <t>Reducir el tiempo promedio de producción a 60 días</t>
  </si>
  <si>
    <t>Optimizar los tiempos de producción editorial semestral</t>
  </si>
  <si>
    <t>Indicadores de resultado intermedio</t>
  </si>
  <si>
    <t xml:space="preserve">Indicadores de impacto </t>
  </si>
  <si>
    <r>
      <t xml:space="preserve">Medición semestral: </t>
    </r>
    <r>
      <rPr>
        <sz val="11"/>
        <color rgb="FF000000"/>
        <rFont val="Aptos Narrow"/>
      </rPr>
      <t>Avance progresivo en los procesos de maquetación con el 50%.</t>
    </r>
  </si>
  <si>
    <r>
      <t xml:space="preserve">Medición anual: </t>
    </r>
    <r>
      <rPr>
        <sz val="11"/>
        <color rgb="FF000000"/>
        <rFont val="Aptos Narrow"/>
      </rPr>
      <t>Cumplimiento del 100% de la meta de maquetación (6 productos editoriales finalizados).</t>
    </r>
  </si>
  <si>
    <r>
      <t xml:space="preserve">Medición bimensual: </t>
    </r>
    <r>
      <rPr>
        <sz val="11"/>
        <color rgb="FF000000"/>
        <rFont val="Aptos Narrow"/>
      </rPr>
      <t>Incremento progresivo de las interacciones en plataformas al 16,33%</t>
    </r>
  </si>
  <si>
    <r>
      <t xml:space="preserve">Medición anual: </t>
    </r>
    <r>
      <rPr>
        <sz val="11"/>
        <color rgb="FF000000"/>
        <rFont val="Aptos Narrow"/>
      </rPr>
      <t>Incremento en el nivel de interacción igual o superior a 100 unidades frente a la línea base.</t>
    </r>
  </si>
  <si>
    <r>
      <rPr>
        <b/>
        <sz val="11"/>
        <color theme="1"/>
        <rFont val="Aptos Narrow"/>
      </rPr>
      <t>Medición trimestral:</t>
    </r>
    <r>
      <rPr>
        <sz val="11"/>
        <color theme="1"/>
        <rFont val="Aptos Narrow"/>
      </rPr>
      <t xml:space="preserve"> Reducción del 15% en el tiempo de los procesos editoriales.</t>
    </r>
  </si>
  <si>
    <r>
      <rPr>
        <b/>
        <sz val="11"/>
        <color theme="1"/>
        <rFont val="Aptos Narrow"/>
      </rPr>
      <t>Medición inicial y final:</t>
    </r>
    <r>
      <rPr>
        <sz val="11"/>
        <color theme="1"/>
        <rFont val="Aptos Narrow"/>
      </rPr>
      <t xml:space="preserve"> Reducción del 33% en el tiempo promedio total de producción.</t>
    </r>
  </si>
  <si>
    <t xml:space="preserve">Meta año </t>
  </si>
  <si>
    <t>% Avance</t>
  </si>
  <si>
    <t xml:space="preserve">Total actividades </t>
  </si>
  <si>
    <t>Enero 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</si>
  <si>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</si>
  <si>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</si>
  <si>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</si>
  <si>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</si>
  <si>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</si>
  <si>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</si>
  <si>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</si>
  <si>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</si>
  <si>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</si>
  <si>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</si>
  <si>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</si>
  <si>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Indicador</t>
  </si>
  <si>
    <t>Meta año</t>
  </si>
  <si>
    <t>Total actividades</t>
  </si>
  <si>
    <t>Enero</t>
  </si>
  <si>
    <t>APG | Acompañamiento a Proyectos de grado</t>
  </si>
  <si>
    <t>TP | Tiempo producción (días promedio)</t>
  </si>
  <si>
    <t>60 días</t>
  </si>
  <si>
    <t>PM | Publicaciones maquetadas</t>
  </si>
  <si>
    <t>AC | Apropiación de contenidos (interacciones)</t>
  </si>
  <si>
    <r>
      <t xml:space="preserve">Medición semestral: </t>
    </r>
    <r>
      <rPr>
        <sz val="11"/>
        <color rgb="FF000000"/>
        <rFont val="Aptos Narrow"/>
      </rPr>
      <t>Incremento en el nivel de proyectos acompañados igual o superior al 100% (Meta: 3 proyectos).</t>
    </r>
  </si>
  <si>
    <r>
      <t xml:space="preserve">Medición bimensual: </t>
    </r>
    <r>
      <rPr>
        <sz val="11"/>
        <color rgb="FF000000"/>
        <rFont val="Aptos Narrow"/>
      </rPr>
      <t>Incremento progresivo del acompañamiento al 33,33%</t>
    </r>
  </si>
  <si>
    <r>
      <t xml:space="preserve">Medición bimensual: </t>
    </r>
    <r>
      <rPr>
        <sz val="11"/>
        <color rgb="FF000000"/>
        <rFont val="Aptos Narrow"/>
      </rPr>
      <t>Incremento progresivo del acompañamiento entre el 33,33%</t>
    </r>
  </si>
  <si>
    <r>
      <t>Medición semestral:</t>
    </r>
    <r>
      <rPr>
        <sz val="11"/>
        <color rgb="FF000000"/>
        <rFont val="Aptos Narrow"/>
      </rPr>
      <t> Obtención de solicitudes de producción editorial igual o superior al 50% de incremento (Meta: 3 solicitudes).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</si>
</sst>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2" fontId="0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0" fillId="3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wrapText="1"/>
    </xf>
    <xf numFmtId="9" fontId="0" fillId="0" borderId="0" xfId="0" applyNumberFormat="1"/>
    <xf numFmtId="9" fontId="0" fillId="0" borderId="0" xfId="0" applyNumberForma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523875</xdr:colOff>
      <xdr:row>2</xdr:row>
      <xdr:rowOff>133350</xdr:rowOff>
    </xdr:from>
    <xdr:to>
      <xdr:col>8</xdr:col>
      <xdr:colOff>1419225</xdr:colOff>
      <xdr:row>5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6F923-75CD-4E03-B915-F8840F275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514350"/>
          <a:ext cx="89535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61A0-95DC-46CA-831E-0183C6C7DCA6}">
  <dimension ref="B3:B11"/>
  <sheetViews>
    <sheetView workbookViewId="0">
      <selection activeCell="B9" sqref="B9"/>
    </sheetView>
  </sheetViews>
  <sheetFormatPr baseColWidth="10" defaultColWidth="11.5" defaultRowHeight="15" x14ac:dyDescent="0.2"/>
  <cols>
    <col min="2" max="2" width="76.6640625" bestFit="1" customWidth="1"/>
  </cols>
  <sheetData>
    <row r="3" spans="2:2" x14ac:dyDescent="0.2">
      <c r="B3" s="10" t="s">
        <v>0</v>
      </c>
    </row>
    <row r="4" spans="2:2" ht="16" x14ac:dyDescent="0.2">
      <c r="B4" s="6" t="s">
        <v>1</v>
      </c>
    </row>
    <row r="5" spans="2:2" ht="16" x14ac:dyDescent="0.2">
      <c r="B5" s="6" t="s">
        <v>2</v>
      </c>
    </row>
    <row r="6" spans="2:2" ht="16" x14ac:dyDescent="0.2">
      <c r="B6" s="6" t="s">
        <v>3</v>
      </c>
    </row>
    <row r="7" spans="2:2" ht="16" x14ac:dyDescent="0.2">
      <c r="B7" s="6" t="s">
        <v>4</v>
      </c>
    </row>
    <row r="8" spans="2:2" ht="16" x14ac:dyDescent="0.2">
      <c r="B8" s="6" t="s">
        <v>5</v>
      </c>
    </row>
    <row r="9" spans="2:2" ht="16" x14ac:dyDescent="0.2">
      <c r="B9" s="6" t="s">
        <v>6</v>
      </c>
    </row>
    <row r="10" spans="2:2" ht="16" x14ac:dyDescent="0.2">
      <c r="B10" s="6" t="s">
        <v>7</v>
      </c>
    </row>
    <row r="11" spans="2:2" ht="16" x14ac:dyDescent="0.2">
      <c r="B11" s="6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2010-CA4B-4139-B3CD-60D86F6B026C}">
  <dimension ref="A1:AD26"/>
  <sheetViews>
    <sheetView tabSelected="1" topLeftCell="E10" zoomScale="97" zoomScaleNormal="97" workbookViewId="0">
      <selection activeCell="O13" sqref="O13"/>
    </sheetView>
  </sheetViews>
  <sheetFormatPr baseColWidth="10" defaultColWidth="11.5" defaultRowHeight="15" x14ac:dyDescent="0.2"/>
  <cols>
    <col min="1" max="1" width="33.1640625" style="1" customWidth="1"/>
    <col min="2" max="3" width="31.5" style="1" customWidth="1"/>
    <col min="4" max="4" width="31.83203125" style="1" customWidth="1"/>
    <col min="5" max="5" width="25.83203125" style="1" customWidth="1"/>
    <col min="6" max="6" width="41" style="1" customWidth="1"/>
    <col min="7" max="7" width="31.5" style="1" bestFit="1" customWidth="1"/>
    <col min="8" max="8" width="12.83203125" style="1" customWidth="1"/>
    <col min="9" max="9" width="5.1640625" style="2" bestFit="1" customWidth="1"/>
    <col min="10" max="10" width="12.5" style="2" bestFit="1" customWidth="1"/>
    <col min="11" max="11" width="15.1640625" style="1" bestFit="1" customWidth="1"/>
    <col min="12" max="12" width="22.1640625" style="1" customWidth="1"/>
    <col min="13" max="13" width="33" style="1" customWidth="1"/>
    <col min="14" max="14" width="43.5" style="1" customWidth="1"/>
    <col min="15" max="15" width="33.6640625" style="1" customWidth="1"/>
    <col min="16" max="16384" width="11.5" style="1"/>
  </cols>
  <sheetData>
    <row r="1" spans="1:30" ht="15" customHeight="1" x14ac:dyDescent="0.2">
      <c r="A1" s="35" t="s">
        <v>92</v>
      </c>
      <c r="B1" s="35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30" x14ac:dyDescent="0.2">
      <c r="A2" s="26"/>
      <c r="B2" s="26"/>
      <c r="C2" s="26"/>
      <c r="D2" s="26"/>
      <c r="E2" s="26"/>
      <c r="F2" s="26"/>
      <c r="G2" s="27"/>
      <c r="H2" s="27"/>
      <c r="I2" s="26"/>
      <c r="J2" s="26"/>
      <c r="K2" s="26"/>
      <c r="L2" s="26"/>
      <c r="M2" s="26"/>
      <c r="N2" s="26"/>
      <c r="O2" s="26"/>
    </row>
    <row r="3" spans="1:30" x14ac:dyDescent="0.2">
      <c r="A3" s="38" t="s">
        <v>90</v>
      </c>
      <c r="B3" s="38"/>
      <c r="C3" s="38"/>
      <c r="D3" s="26"/>
      <c r="E3" s="26"/>
      <c r="F3" s="26"/>
      <c r="G3" s="27"/>
      <c r="H3" s="27"/>
      <c r="I3" s="26"/>
      <c r="J3" s="26"/>
      <c r="K3" s="26"/>
      <c r="L3" s="26"/>
      <c r="M3" s="26"/>
      <c r="N3" s="26"/>
      <c r="O3" s="26"/>
    </row>
    <row r="4" spans="1:30" x14ac:dyDescent="0.2">
      <c r="A4" s="38" t="s">
        <v>91</v>
      </c>
      <c r="B4" s="38"/>
      <c r="C4" s="38"/>
      <c r="D4" s="26"/>
      <c r="E4" s="26"/>
      <c r="F4" s="26"/>
      <c r="G4" s="27"/>
      <c r="H4" s="27"/>
      <c r="I4" s="26"/>
      <c r="J4" s="26"/>
      <c r="K4" s="26"/>
      <c r="L4" s="26"/>
      <c r="M4" s="26"/>
      <c r="N4" s="26"/>
      <c r="O4" s="26"/>
    </row>
    <row r="5" spans="1:30" x14ac:dyDescent="0.2">
      <c r="A5" s="38">
        <v>2026</v>
      </c>
      <c r="B5" s="38"/>
      <c r="C5" s="38"/>
      <c r="D5" s="26"/>
      <c r="E5" s="26"/>
      <c r="F5" s="26"/>
      <c r="G5" s="27"/>
      <c r="H5" s="27"/>
      <c r="I5" s="26"/>
      <c r="J5" s="26"/>
      <c r="K5" s="26"/>
      <c r="L5" s="26"/>
      <c r="M5" s="26"/>
      <c r="N5" s="26"/>
      <c r="O5" s="26"/>
    </row>
    <row r="6" spans="1:30" ht="19" customHeight="1" x14ac:dyDescent="0.2">
      <c r="G6" s="2"/>
      <c r="H6" s="2"/>
      <c r="I6" s="1"/>
      <c r="J6" s="1"/>
    </row>
    <row r="7" spans="1:30" ht="30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21"/>
      <c r="O7" s="21"/>
    </row>
    <row r="8" spans="1:30" x14ac:dyDescent="0.2">
      <c r="G8" s="2"/>
      <c r="H8" s="2"/>
      <c r="I8" s="1"/>
      <c r="J8" s="1"/>
    </row>
    <row r="9" spans="1:30" ht="48" x14ac:dyDescent="0.2">
      <c r="A9" s="18" t="s">
        <v>46</v>
      </c>
      <c r="B9" s="18" t="s">
        <v>54</v>
      </c>
      <c r="C9" s="18" t="s">
        <v>57</v>
      </c>
      <c r="D9" s="18" t="s">
        <v>60</v>
      </c>
      <c r="E9" s="18" t="s">
        <v>47</v>
      </c>
      <c r="F9" s="18" t="s">
        <v>44</v>
      </c>
      <c r="G9" s="19" t="s">
        <v>45</v>
      </c>
      <c r="H9" s="19" t="s">
        <v>17</v>
      </c>
      <c r="I9" s="19" t="s">
        <v>18</v>
      </c>
      <c r="J9" s="19" t="s">
        <v>19</v>
      </c>
      <c r="K9" s="19" t="s">
        <v>20</v>
      </c>
      <c r="L9" s="19" t="s">
        <v>21</v>
      </c>
      <c r="M9" s="19" t="s">
        <v>22</v>
      </c>
      <c r="N9" s="28" t="s">
        <v>96</v>
      </c>
      <c r="O9" s="28" t="s">
        <v>97</v>
      </c>
      <c r="P9" s="32" t="s">
        <v>104</v>
      </c>
      <c r="Q9" s="32" t="s">
        <v>105</v>
      </c>
      <c r="R9" s="32" t="s">
        <v>106</v>
      </c>
      <c r="S9" s="32" t="s">
        <v>107</v>
      </c>
      <c r="T9" s="32" t="s">
        <v>108</v>
      </c>
      <c r="U9" s="32" t="s">
        <v>109</v>
      </c>
      <c r="V9" s="32" t="s">
        <v>110</v>
      </c>
      <c r="W9" s="32" t="s">
        <v>111</v>
      </c>
      <c r="X9" s="32" t="s">
        <v>112</v>
      </c>
      <c r="Y9" s="32" t="s">
        <v>113</v>
      </c>
      <c r="Z9" s="32" t="s">
        <v>114</v>
      </c>
      <c r="AA9" s="32" t="s">
        <v>115</v>
      </c>
      <c r="AB9" s="32" t="s">
        <v>116</v>
      </c>
      <c r="AC9" s="32" t="s">
        <v>117</v>
      </c>
      <c r="AD9" s="32" t="s">
        <v>118</v>
      </c>
    </row>
    <row r="10" spans="1:30" ht="80" customHeight="1" x14ac:dyDescent="0.2">
      <c r="A10" s="37" t="s">
        <v>53</v>
      </c>
      <c r="B10" s="37" t="s">
        <v>55</v>
      </c>
      <c r="C10" s="4" t="s">
        <v>58</v>
      </c>
      <c r="D10" s="22" t="s">
        <v>85</v>
      </c>
      <c r="E10" s="22" t="s">
        <v>56</v>
      </c>
      <c r="F10" s="22" t="s">
        <v>61</v>
      </c>
      <c r="G10" s="4" t="s">
        <v>62</v>
      </c>
      <c r="H10" s="4" t="s">
        <v>67</v>
      </c>
      <c r="I10" s="23">
        <v>0.2</v>
      </c>
      <c r="J10" s="4" t="s">
        <v>24</v>
      </c>
      <c r="K10" s="4" t="s">
        <v>48</v>
      </c>
      <c r="L10" s="8" t="s">
        <v>66</v>
      </c>
      <c r="M10" s="4" t="s">
        <v>71</v>
      </c>
      <c r="N10" s="30" t="s">
        <v>129</v>
      </c>
      <c r="O10" s="30" t="s">
        <v>128</v>
      </c>
      <c r="P10" s="4">
        <f>T10+V10+X10+Z10+AB10+AD10</f>
        <v>6</v>
      </c>
      <c r="Q10" s="8">
        <f>4/6*100%</f>
        <v>0.66666666666666663</v>
      </c>
      <c r="R10" s="4">
        <v>6</v>
      </c>
      <c r="S10" s="4"/>
      <c r="T10" s="4">
        <v>1</v>
      </c>
      <c r="U10" s="4"/>
      <c r="V10" s="4">
        <v>1</v>
      </c>
      <c r="W10" s="4"/>
      <c r="X10" s="4">
        <v>1</v>
      </c>
      <c r="Y10" s="4"/>
      <c r="Z10" s="4">
        <v>1</v>
      </c>
      <c r="AA10" s="4"/>
      <c r="AB10" s="4">
        <v>1</v>
      </c>
      <c r="AC10" s="4"/>
      <c r="AD10" s="4">
        <v>1</v>
      </c>
    </row>
    <row r="11" spans="1:30" ht="64" x14ac:dyDescent="0.2">
      <c r="A11" s="37"/>
      <c r="B11" s="37"/>
      <c r="C11" s="4" t="s">
        <v>59</v>
      </c>
      <c r="D11" s="22" t="s">
        <v>86</v>
      </c>
      <c r="E11" s="22" t="s">
        <v>81</v>
      </c>
      <c r="F11" s="24" t="s">
        <v>64</v>
      </c>
      <c r="G11" s="4" t="s">
        <v>68</v>
      </c>
      <c r="H11" s="4" t="s">
        <v>69</v>
      </c>
      <c r="I11" s="23">
        <v>0.2</v>
      </c>
      <c r="J11" s="4" t="s">
        <v>24</v>
      </c>
      <c r="K11" s="4" t="s">
        <v>48</v>
      </c>
      <c r="L11" s="4" t="s">
        <v>87</v>
      </c>
      <c r="M11" s="4" t="s">
        <v>70</v>
      </c>
      <c r="N11" s="30" t="s">
        <v>130</v>
      </c>
      <c r="O11" s="30" t="s">
        <v>131</v>
      </c>
      <c r="P11" s="4">
        <v>6</v>
      </c>
      <c r="Q11" s="8">
        <f>4/6*100%</f>
        <v>0.66666666666666663</v>
      </c>
      <c r="R11" s="4">
        <v>6</v>
      </c>
      <c r="S11" s="4"/>
      <c r="T11" s="4">
        <v>1</v>
      </c>
      <c r="U11" s="4"/>
      <c r="V11" s="4">
        <v>1</v>
      </c>
      <c r="W11" s="4"/>
      <c r="X11" s="4">
        <v>1</v>
      </c>
      <c r="Y11" s="4"/>
      <c r="Z11" s="4">
        <v>1</v>
      </c>
      <c r="AA11" s="4"/>
      <c r="AB11" s="4">
        <v>1</v>
      </c>
      <c r="AC11" s="4"/>
      <c r="AD11" s="4">
        <v>1</v>
      </c>
    </row>
    <row r="12" spans="1:30" ht="84" customHeight="1" x14ac:dyDescent="0.2">
      <c r="A12" s="37"/>
      <c r="B12" s="37"/>
      <c r="C12" s="37" t="s">
        <v>63</v>
      </c>
      <c r="D12" s="22" t="s">
        <v>95</v>
      </c>
      <c r="E12" s="22" t="s">
        <v>52</v>
      </c>
      <c r="F12" s="22" t="s">
        <v>93</v>
      </c>
      <c r="G12" s="4" t="s">
        <v>73</v>
      </c>
      <c r="H12" s="4" t="s">
        <v>72</v>
      </c>
      <c r="I12" s="23">
        <v>0.2</v>
      </c>
      <c r="J12" s="4" t="s">
        <v>24</v>
      </c>
      <c r="K12" s="4" t="s">
        <v>25</v>
      </c>
      <c r="L12" s="4" t="s">
        <v>94</v>
      </c>
      <c r="M12" s="4" t="s">
        <v>50</v>
      </c>
      <c r="N12" s="31" t="s">
        <v>102</v>
      </c>
      <c r="O12" s="31" t="s">
        <v>103</v>
      </c>
      <c r="P12" s="4">
        <v>60</v>
      </c>
      <c r="Q12" s="8">
        <f>4/12*100%</f>
        <v>0.33333333333333331</v>
      </c>
      <c r="R12" s="4">
        <v>2</v>
      </c>
      <c r="S12" s="4">
        <v>90</v>
      </c>
      <c r="T12" s="4"/>
      <c r="U12" s="4"/>
      <c r="V12" s="4">
        <v>75</v>
      </c>
      <c r="W12" s="4"/>
      <c r="X12" s="4"/>
      <c r="Y12" s="4"/>
      <c r="Z12" s="4"/>
      <c r="AA12" s="4">
        <v>65</v>
      </c>
      <c r="AB12" s="4"/>
      <c r="AC12" s="4"/>
      <c r="AD12" s="4">
        <v>60</v>
      </c>
    </row>
    <row r="13" spans="1:30" ht="48" x14ac:dyDescent="0.2">
      <c r="A13" s="37"/>
      <c r="B13" s="37"/>
      <c r="C13" s="37"/>
      <c r="D13" s="22" t="s">
        <v>82</v>
      </c>
      <c r="E13" s="22" t="s">
        <v>51</v>
      </c>
      <c r="F13" s="22" t="s">
        <v>65</v>
      </c>
      <c r="G13" s="4" t="s">
        <v>74</v>
      </c>
      <c r="H13" s="4" t="s">
        <v>75</v>
      </c>
      <c r="I13" s="23">
        <v>0.2</v>
      </c>
      <c r="J13" s="4" t="s">
        <v>24</v>
      </c>
      <c r="K13" s="4" t="s">
        <v>48</v>
      </c>
      <c r="L13" s="4" t="s">
        <v>83</v>
      </c>
      <c r="M13" s="4" t="s">
        <v>49</v>
      </c>
      <c r="N13" s="30" t="s">
        <v>98</v>
      </c>
      <c r="O13" s="30" t="s">
        <v>99</v>
      </c>
      <c r="P13" s="4">
        <f>W13+AD13</f>
        <v>6</v>
      </c>
      <c r="Q13" s="8">
        <v>0</v>
      </c>
      <c r="R13" s="4">
        <v>6</v>
      </c>
      <c r="S13" s="4"/>
      <c r="T13" s="4"/>
      <c r="U13" s="4"/>
      <c r="V13" s="4"/>
      <c r="W13" s="4">
        <v>3</v>
      </c>
      <c r="X13" s="4"/>
      <c r="Y13" s="4"/>
      <c r="Z13" s="4"/>
      <c r="AA13" s="4"/>
      <c r="AB13" s="4"/>
      <c r="AC13" s="4"/>
      <c r="AD13" s="4">
        <v>3</v>
      </c>
    </row>
    <row r="14" spans="1:30" ht="68" customHeight="1" x14ac:dyDescent="0.2">
      <c r="A14" s="37"/>
      <c r="B14" s="37"/>
      <c r="C14" s="25" t="s">
        <v>84</v>
      </c>
      <c r="D14" s="22" t="s">
        <v>89</v>
      </c>
      <c r="E14" s="22" t="s">
        <v>76</v>
      </c>
      <c r="F14" s="22" t="s">
        <v>78</v>
      </c>
      <c r="G14" s="4" t="s">
        <v>79</v>
      </c>
      <c r="H14" s="4" t="s">
        <v>77</v>
      </c>
      <c r="I14" s="23">
        <v>0.2</v>
      </c>
      <c r="J14" s="4" t="s">
        <v>24</v>
      </c>
      <c r="K14" s="4" t="s">
        <v>48</v>
      </c>
      <c r="L14" s="4" t="s">
        <v>88</v>
      </c>
      <c r="M14" s="4" t="s">
        <v>80</v>
      </c>
      <c r="N14" s="30" t="s">
        <v>100</v>
      </c>
      <c r="O14" s="30" t="s">
        <v>101</v>
      </c>
      <c r="P14" s="4">
        <f>T14+V14+X14+Z14+AB14+AD14</f>
        <v>100</v>
      </c>
      <c r="Q14" s="8">
        <v>0</v>
      </c>
      <c r="R14" s="4">
        <v>6</v>
      </c>
      <c r="S14" s="4"/>
      <c r="T14" s="4">
        <v>17</v>
      </c>
      <c r="U14" s="4"/>
      <c r="V14" s="4">
        <v>17</v>
      </c>
      <c r="W14" s="4"/>
      <c r="X14" s="4">
        <v>16</v>
      </c>
      <c r="Y14" s="4"/>
      <c r="Z14" s="4">
        <v>17</v>
      </c>
      <c r="AA14" s="4"/>
      <c r="AB14" s="4">
        <v>17</v>
      </c>
      <c r="AC14" s="4"/>
      <c r="AD14" s="4">
        <v>16</v>
      </c>
    </row>
    <row r="15" spans="1:30" x14ac:dyDescent="0.2">
      <c r="B15"/>
      <c r="C15"/>
      <c r="D15"/>
      <c r="E15"/>
      <c r="F15"/>
      <c r="G15"/>
      <c r="H15"/>
      <c r="I15"/>
      <c r="J15"/>
      <c r="K15"/>
      <c r="L15"/>
      <c r="M15"/>
      <c r="N15" s="20"/>
      <c r="O15" s="20"/>
    </row>
    <row r="16" spans="1:30" x14ac:dyDescent="0.2">
      <c r="B16" s="20"/>
      <c r="C16" s="20"/>
      <c r="D16"/>
      <c r="E16"/>
      <c r="F16"/>
      <c r="G16"/>
      <c r="H16"/>
      <c r="I16"/>
      <c r="J16"/>
      <c r="K16"/>
      <c r="L16"/>
      <c r="M16"/>
      <c r="N16" s="20"/>
      <c r="O16" s="20"/>
    </row>
    <row r="17" spans="2:18" x14ac:dyDescent="0.2">
      <c r="B17" s="20"/>
      <c r="C17" s="20"/>
      <c r="D17"/>
      <c r="E17"/>
      <c r="F17"/>
      <c r="G17"/>
      <c r="H17"/>
      <c r="I17"/>
      <c r="J17"/>
      <c r="K17"/>
      <c r="L17"/>
      <c r="M17"/>
    </row>
    <row r="18" spans="2:18" x14ac:dyDescent="0.2">
      <c r="B18" s="20"/>
      <c r="C18" s="20"/>
      <c r="D18"/>
      <c r="E18"/>
      <c r="F18"/>
      <c r="G18"/>
      <c r="H18"/>
      <c r="I18"/>
      <c r="J18"/>
      <c r="K18"/>
      <c r="L18"/>
      <c r="M18"/>
    </row>
    <row r="19" spans="2:18" x14ac:dyDescent="0.2">
      <c r="B19" s="20"/>
      <c r="C19" s="20"/>
      <c r="D19"/>
      <c r="E19"/>
      <c r="F19"/>
      <c r="G19"/>
      <c r="H19"/>
      <c r="I19"/>
      <c r="J19"/>
      <c r="K19"/>
      <c r="L19"/>
      <c r="M19" s="29"/>
      <c r="N19" s="29"/>
      <c r="O19" s="29"/>
      <c r="R19" s="34"/>
    </row>
    <row r="20" spans="2:18" x14ac:dyDescent="0.2">
      <c r="M20" s="20"/>
      <c r="N20" s="20"/>
      <c r="O20" s="20"/>
      <c r="R20" s="34"/>
    </row>
    <row r="21" spans="2:18" x14ac:dyDescent="0.2">
      <c r="M21" s="20"/>
      <c r="N21" s="20"/>
      <c r="O21" s="20"/>
      <c r="R21" s="34"/>
    </row>
    <row r="22" spans="2:18" x14ac:dyDescent="0.2">
      <c r="M22" s="20"/>
      <c r="N22" s="20"/>
      <c r="O22" s="20"/>
      <c r="R22" s="34"/>
    </row>
    <row r="23" spans="2:18" x14ac:dyDescent="0.2">
      <c r="M23" s="20"/>
      <c r="N23" s="20"/>
      <c r="O23" s="20"/>
      <c r="R23" s="34"/>
    </row>
    <row r="24" spans="2:18" x14ac:dyDescent="0.2">
      <c r="M24" s="20"/>
      <c r="N24" s="20"/>
      <c r="O24" s="20"/>
    </row>
    <row r="25" spans="2:18" x14ac:dyDescent="0.2">
      <c r="M25" s="20"/>
      <c r="N25" s="20"/>
      <c r="O25" s="20"/>
    </row>
    <row r="26" spans="2:18" x14ac:dyDescent="0.2">
      <c r="M26" s="20"/>
      <c r="N26" s="20"/>
      <c r="O26" s="20"/>
    </row>
  </sheetData>
  <mergeCells count="8">
    <mergeCell ref="A1:B1"/>
    <mergeCell ref="A7:M7"/>
    <mergeCell ref="C12:C13"/>
    <mergeCell ref="A10:A14"/>
    <mergeCell ref="B10:B14"/>
    <mergeCell ref="A3:C3"/>
    <mergeCell ref="A4:C4"/>
    <mergeCell ref="A5:C5"/>
  </mergeCells>
  <pageMargins left="0.7" right="0.7" top="0.75" bottom="0.75" header="0.3" footer="0.3"/>
  <pageSetup orientation="portrait" verticalDpi="598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0CD2-2183-434A-8349-863537DCF44F}">
  <dimension ref="A1:P6"/>
  <sheetViews>
    <sheetView workbookViewId="0">
      <selection activeCell="P6" sqref="B2:P6"/>
    </sheetView>
  </sheetViews>
  <sheetFormatPr baseColWidth="10" defaultRowHeight="15" x14ac:dyDescent="0.2"/>
  <cols>
    <col min="1" max="1" width="20" customWidth="1"/>
    <col min="2" max="2" width="22.83203125" customWidth="1"/>
  </cols>
  <sheetData>
    <row r="1" spans="1:16" x14ac:dyDescent="0.2">
      <c r="A1" t="s">
        <v>119</v>
      </c>
      <c r="B1" t="s">
        <v>120</v>
      </c>
      <c r="C1" t="s">
        <v>105</v>
      </c>
      <c r="D1" t="s">
        <v>121</v>
      </c>
      <c r="E1" t="s">
        <v>122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</row>
    <row r="2" spans="1:16" x14ac:dyDescent="0.2">
      <c r="A2" t="s">
        <v>123</v>
      </c>
      <c r="B2">
        <v>6</v>
      </c>
      <c r="C2" s="33">
        <v>0</v>
      </c>
      <c r="D2">
        <v>6</v>
      </c>
      <c r="E2">
        <v>0</v>
      </c>
      <c r="F2">
        <v>1</v>
      </c>
      <c r="G2">
        <v>1</v>
      </c>
      <c r="H2">
        <v>2</v>
      </c>
      <c r="I2">
        <v>2</v>
      </c>
      <c r="J2">
        <v>3</v>
      </c>
      <c r="K2">
        <v>0</v>
      </c>
      <c r="L2">
        <v>1</v>
      </c>
      <c r="M2">
        <v>1</v>
      </c>
      <c r="N2">
        <v>2</v>
      </c>
      <c r="O2">
        <v>2</v>
      </c>
      <c r="P2">
        <v>3</v>
      </c>
    </row>
    <row r="3" spans="1:16" x14ac:dyDescent="0.2">
      <c r="A3" t="s">
        <v>81</v>
      </c>
      <c r="B3">
        <v>6</v>
      </c>
      <c r="C3" s="33">
        <v>0</v>
      </c>
      <c r="D3">
        <v>6</v>
      </c>
      <c r="E3">
        <v>0</v>
      </c>
      <c r="F3">
        <v>1</v>
      </c>
      <c r="G3">
        <v>1</v>
      </c>
      <c r="H3">
        <v>2</v>
      </c>
      <c r="I3">
        <v>2</v>
      </c>
      <c r="J3">
        <v>3</v>
      </c>
      <c r="K3">
        <v>0</v>
      </c>
      <c r="L3">
        <v>1</v>
      </c>
      <c r="M3">
        <v>1</v>
      </c>
      <c r="N3">
        <v>2</v>
      </c>
      <c r="O3">
        <v>2</v>
      </c>
      <c r="P3">
        <v>3</v>
      </c>
    </row>
    <row r="4" spans="1:16" x14ac:dyDescent="0.2">
      <c r="A4" t="s">
        <v>124</v>
      </c>
      <c r="B4" t="s">
        <v>125</v>
      </c>
      <c r="C4" s="33">
        <v>0</v>
      </c>
      <c r="D4">
        <v>12</v>
      </c>
      <c r="E4">
        <v>90</v>
      </c>
      <c r="F4">
        <v>88</v>
      </c>
      <c r="G4">
        <v>85</v>
      </c>
      <c r="H4">
        <v>82</v>
      </c>
      <c r="I4">
        <v>80</v>
      </c>
      <c r="J4">
        <v>78</v>
      </c>
      <c r="K4">
        <v>75</v>
      </c>
      <c r="L4">
        <v>72</v>
      </c>
      <c r="M4">
        <v>70</v>
      </c>
      <c r="N4">
        <v>68</v>
      </c>
      <c r="O4">
        <v>65</v>
      </c>
      <c r="P4">
        <v>60</v>
      </c>
    </row>
    <row r="5" spans="1:16" x14ac:dyDescent="0.2">
      <c r="A5" t="s">
        <v>126</v>
      </c>
      <c r="B5">
        <v>6</v>
      </c>
      <c r="C5" s="33">
        <v>0</v>
      </c>
      <c r="D5">
        <v>6</v>
      </c>
      <c r="E5">
        <v>0</v>
      </c>
      <c r="F5">
        <v>1</v>
      </c>
      <c r="G5">
        <v>1</v>
      </c>
      <c r="H5">
        <v>2</v>
      </c>
      <c r="I5">
        <v>2</v>
      </c>
      <c r="J5">
        <v>3</v>
      </c>
      <c r="K5">
        <v>0</v>
      </c>
      <c r="L5">
        <v>1</v>
      </c>
      <c r="M5">
        <v>1</v>
      </c>
      <c r="N5">
        <v>2</v>
      </c>
      <c r="O5">
        <v>2</v>
      </c>
      <c r="P5">
        <v>3</v>
      </c>
    </row>
    <row r="6" spans="1:16" x14ac:dyDescent="0.2">
      <c r="A6" t="s">
        <v>127</v>
      </c>
      <c r="B6">
        <v>100</v>
      </c>
      <c r="C6" s="33">
        <v>0</v>
      </c>
      <c r="D6">
        <v>100</v>
      </c>
      <c r="E6">
        <v>5</v>
      </c>
      <c r="F6">
        <v>10</v>
      </c>
      <c r="G6">
        <v>15</v>
      </c>
      <c r="H6">
        <v>20</v>
      </c>
      <c r="I6">
        <v>25</v>
      </c>
      <c r="J6">
        <v>50</v>
      </c>
      <c r="K6">
        <v>5</v>
      </c>
      <c r="L6">
        <v>10</v>
      </c>
      <c r="M6">
        <v>15</v>
      </c>
      <c r="N6">
        <v>20</v>
      </c>
      <c r="O6">
        <v>25</v>
      </c>
      <c r="P6">
        <v>50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153E-28AF-4A7E-AB8A-FCDE4307D5AD}">
  <dimension ref="A1:I18"/>
  <sheetViews>
    <sheetView workbookViewId="0">
      <selection activeCell="B10" sqref="B10"/>
    </sheetView>
  </sheetViews>
  <sheetFormatPr baseColWidth="10" defaultColWidth="11.5" defaultRowHeight="15" x14ac:dyDescent="0.2"/>
  <cols>
    <col min="1" max="1" width="14.1640625" customWidth="1"/>
    <col min="2" max="2" width="28.6640625" customWidth="1"/>
    <col min="3" max="3" width="22.5" customWidth="1"/>
    <col min="4" max="4" width="40.1640625" customWidth="1"/>
    <col min="8" max="8" width="5.5" bestFit="1" customWidth="1"/>
    <col min="9" max="9" width="32.1640625" customWidth="1"/>
  </cols>
  <sheetData>
    <row r="1" spans="1:9" x14ac:dyDescent="0.2">
      <c r="A1" s="40" t="s">
        <v>9</v>
      </c>
      <c r="B1" s="40"/>
      <c r="C1" s="40"/>
      <c r="D1" s="40"/>
      <c r="E1" s="40"/>
      <c r="F1" s="40"/>
      <c r="G1" s="40"/>
      <c r="H1" s="40"/>
      <c r="I1" s="40"/>
    </row>
    <row r="2" spans="1:9" x14ac:dyDescent="0.2">
      <c r="A2" s="40"/>
      <c r="B2" s="40"/>
      <c r="C2" s="40"/>
      <c r="D2" s="40"/>
      <c r="E2" s="40"/>
      <c r="F2" s="40"/>
      <c r="G2" s="40"/>
      <c r="H2" s="40"/>
      <c r="I2" s="40"/>
    </row>
    <row r="3" spans="1:9" ht="16" x14ac:dyDescent="0.2">
      <c r="A3" s="16" t="s">
        <v>10</v>
      </c>
      <c r="B3" s="14"/>
      <c r="C3" s="14"/>
      <c r="D3" s="14"/>
      <c r="E3" s="15"/>
      <c r="F3" s="15"/>
      <c r="G3" s="14"/>
      <c r="H3" s="14"/>
      <c r="I3" s="13"/>
    </row>
    <row r="4" spans="1:9" ht="16" x14ac:dyDescent="0.2">
      <c r="A4" s="16" t="s">
        <v>11</v>
      </c>
      <c r="B4" s="41"/>
      <c r="C4" s="41"/>
      <c r="D4" s="14"/>
      <c r="E4" s="15"/>
      <c r="F4" s="15"/>
      <c r="G4" s="14"/>
      <c r="H4" s="14"/>
      <c r="I4" s="13"/>
    </row>
    <row r="5" spans="1:9" ht="16" x14ac:dyDescent="0.2">
      <c r="A5" s="16" t="s">
        <v>12</v>
      </c>
      <c r="B5" s="41"/>
      <c r="C5" s="41"/>
      <c r="D5" s="14"/>
      <c r="E5" s="15"/>
      <c r="F5" s="15"/>
      <c r="G5" s="14"/>
      <c r="H5" s="14"/>
      <c r="I5" s="13"/>
    </row>
    <row r="6" spans="1:9" ht="16" x14ac:dyDescent="0.2">
      <c r="A6" s="16" t="s">
        <v>13</v>
      </c>
      <c r="B6" s="41"/>
      <c r="C6" s="41"/>
      <c r="D6" s="14"/>
      <c r="E6" s="15"/>
      <c r="F6" s="15"/>
      <c r="G6" s="14"/>
      <c r="H6" s="14"/>
      <c r="I6" s="13"/>
    </row>
    <row r="7" spans="1:9" x14ac:dyDescent="0.2">
      <c r="A7" s="17"/>
      <c r="B7" s="17"/>
      <c r="C7" s="17"/>
      <c r="D7" s="17"/>
      <c r="E7" s="17"/>
      <c r="F7" s="17"/>
      <c r="G7" s="17"/>
      <c r="H7" s="17"/>
      <c r="I7" s="17"/>
    </row>
    <row r="8" spans="1:9" ht="48" x14ac:dyDescent="0.2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</row>
    <row r="9" spans="1:9" ht="32" x14ac:dyDescent="0.2">
      <c r="A9" s="39" t="s">
        <v>23</v>
      </c>
      <c r="B9" s="3" t="s">
        <v>7</v>
      </c>
      <c r="C9" s="3" t="s">
        <v>38</v>
      </c>
      <c r="D9" s="3" t="s">
        <v>39</v>
      </c>
      <c r="E9" s="8">
        <v>0.08</v>
      </c>
      <c r="F9" s="4" t="s">
        <v>24</v>
      </c>
      <c r="G9" s="4" t="s">
        <v>25</v>
      </c>
      <c r="H9" s="8">
        <v>0.01</v>
      </c>
      <c r="I9" s="3" t="s">
        <v>26</v>
      </c>
    </row>
    <row r="10" spans="1:9" ht="32" x14ac:dyDescent="0.2">
      <c r="A10" s="39"/>
      <c r="B10" s="3" t="s">
        <v>4</v>
      </c>
      <c r="C10" s="3" t="s">
        <v>40</v>
      </c>
      <c r="D10" s="12" t="s">
        <v>41</v>
      </c>
      <c r="E10" s="8">
        <v>0.08</v>
      </c>
      <c r="F10" s="4" t="s">
        <v>35</v>
      </c>
      <c r="G10" s="4" t="s">
        <v>25</v>
      </c>
      <c r="H10" s="11">
        <v>1.37</v>
      </c>
      <c r="I10" s="3" t="s">
        <v>42</v>
      </c>
    </row>
    <row r="11" spans="1:9" ht="48" x14ac:dyDescent="0.2">
      <c r="A11" s="39"/>
      <c r="B11" s="3" t="s">
        <v>6</v>
      </c>
      <c r="C11" s="3" t="s">
        <v>27</v>
      </c>
      <c r="D11" s="3" t="s">
        <v>28</v>
      </c>
      <c r="E11" s="8">
        <v>0.08</v>
      </c>
      <c r="F11" s="4" t="s">
        <v>24</v>
      </c>
      <c r="G11" s="4" t="s">
        <v>25</v>
      </c>
      <c r="H11" s="4">
        <v>4</v>
      </c>
      <c r="I11" s="3" t="s">
        <v>29</v>
      </c>
    </row>
    <row r="12" spans="1:9" ht="112" x14ac:dyDescent="0.2">
      <c r="A12" s="39"/>
      <c r="B12" s="3" t="s">
        <v>4</v>
      </c>
      <c r="C12" s="3" t="s">
        <v>30</v>
      </c>
      <c r="D12" s="3" t="s">
        <v>31</v>
      </c>
      <c r="E12" s="8">
        <v>0.08</v>
      </c>
      <c r="F12" s="4" t="s">
        <v>24</v>
      </c>
      <c r="G12" s="4" t="s">
        <v>25</v>
      </c>
      <c r="H12" s="8">
        <v>0.9</v>
      </c>
      <c r="I12" s="3" t="s">
        <v>32</v>
      </c>
    </row>
    <row r="13" spans="1:9" ht="48" x14ac:dyDescent="0.2">
      <c r="A13" s="39"/>
      <c r="B13" s="3" t="s">
        <v>1</v>
      </c>
      <c r="C13" s="3" t="s">
        <v>33</v>
      </c>
      <c r="D13" s="3" t="s">
        <v>34</v>
      </c>
      <c r="E13" s="8">
        <v>0.08</v>
      </c>
      <c r="F13" s="4" t="s">
        <v>35</v>
      </c>
      <c r="G13" s="4" t="s">
        <v>25</v>
      </c>
      <c r="H13" s="8">
        <v>1</v>
      </c>
      <c r="I13" s="3" t="s">
        <v>36</v>
      </c>
    </row>
    <row r="14" spans="1:9" x14ac:dyDescent="0.2">
      <c r="A14" s="37" t="s">
        <v>43</v>
      </c>
      <c r="B14" s="3"/>
      <c r="C14" s="3"/>
      <c r="D14" s="3"/>
      <c r="E14" s="4"/>
      <c r="F14" s="4"/>
      <c r="G14" s="3"/>
      <c r="H14" s="3"/>
      <c r="I14" s="3"/>
    </row>
    <row r="15" spans="1:9" x14ac:dyDescent="0.2">
      <c r="A15" s="37"/>
      <c r="B15" s="3"/>
      <c r="C15" s="3"/>
      <c r="D15" s="3"/>
      <c r="E15" s="4"/>
      <c r="F15" s="4"/>
      <c r="G15" s="3"/>
      <c r="H15" s="3"/>
      <c r="I15" s="3"/>
    </row>
    <row r="16" spans="1:9" x14ac:dyDescent="0.2">
      <c r="A16" s="37"/>
      <c r="B16" s="3"/>
      <c r="C16" s="3"/>
      <c r="D16" s="3"/>
      <c r="E16" s="4"/>
      <c r="F16" s="4"/>
      <c r="G16" s="3"/>
      <c r="H16" s="3"/>
      <c r="I16" s="3"/>
    </row>
    <row r="17" spans="1:9" x14ac:dyDescent="0.2">
      <c r="A17" s="37"/>
      <c r="B17" s="3"/>
      <c r="C17" s="3"/>
      <c r="D17" s="3"/>
      <c r="E17" s="4"/>
      <c r="F17" s="4"/>
      <c r="G17" s="3"/>
      <c r="H17" s="3"/>
      <c r="I17" s="3"/>
    </row>
    <row r="18" spans="1:9" ht="16" x14ac:dyDescent="0.2">
      <c r="A18" s="5" t="s">
        <v>37</v>
      </c>
      <c r="B18" s="5"/>
      <c r="C18" s="5"/>
      <c r="D18" s="5"/>
      <c r="E18" s="9">
        <f>SUM(E9:E17)</f>
        <v>0.4</v>
      </c>
      <c r="F18" s="7"/>
      <c r="G18" s="5"/>
      <c r="H18" s="5"/>
      <c r="I18" s="5"/>
    </row>
  </sheetData>
  <mergeCells count="6">
    <mergeCell ref="A14:A17"/>
    <mergeCell ref="A9:A13"/>
    <mergeCell ref="A1:I2"/>
    <mergeCell ref="B4:C4"/>
    <mergeCell ref="B5:C5"/>
    <mergeCell ref="B6:C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DE89FA-4F24-40BD-ACAD-F51849F7AD33}">
          <x14:formula1>
            <xm:f>'Lista Objetivos'!$B$4:$B$11</xm:f>
          </x14:formula1>
          <xm:sqref>B9:B17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58e794-3239-489e-b3af-52a76fe8c0a2">
      <Terms xmlns="http://schemas.microsoft.com/office/infopath/2007/PartnerControls"/>
    </lcf76f155ced4ddcb4097134ff3c332f>
    <TaxCatchAll xmlns="a7eae3b1-5f3a-45ca-8f76-af9df1df69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6CD0D0AFF024B986EAAF280E7FCC5" ma:contentTypeVersion="15" ma:contentTypeDescription="Crear nuevo documento." ma:contentTypeScope="" ma:versionID="82dbef792a718db2b23fe24b122dedd1">
  <xsd:schema xmlns:xsd="http://www.w3.org/2001/XMLSchema" xmlns:xs="http://www.w3.org/2001/XMLSchema" xmlns:p="http://schemas.microsoft.com/office/2006/metadata/properties" xmlns:ns2="d858e794-3239-489e-b3af-52a76fe8c0a2" xmlns:ns3="a7eae3b1-5f3a-45ca-8f76-af9df1df6901" targetNamespace="http://schemas.microsoft.com/office/2006/metadata/properties" ma:root="true" ma:fieldsID="0c5d34d9174d37a71bd5a5868e3d047f" ns2:_="" ns3:_="">
    <xsd:import namespace="d858e794-3239-489e-b3af-52a76fe8c0a2"/>
    <xsd:import namespace="a7eae3b1-5f3a-45ca-8f76-af9df1df69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8e794-3239-489e-b3af-52a76fe8c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677bb5d-dfb2-455a-ba1a-8f7ee670f0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ae3b1-5f3a-45ca-8f76-af9df1df690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bb1c6b-d154-4491-a46d-4e43a4bf4ed4}" ma:internalName="TaxCatchAll" ma:showField="CatchAllData" ma:web="a7eae3b1-5f3a-45ca-8f76-af9df1df69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7CFC35-B3FC-496F-AE44-CA5EB9BFC242}">
  <ds:schemaRefs>
    <ds:schemaRef ds:uri="d858e794-3239-489e-b3af-52a76fe8c0a2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7eae3b1-5f3a-45ca-8f76-af9df1df690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7EE2102-F9DF-4595-BD23-831CFCB113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F0388-6D4E-4BDA-9D6F-EA104EA45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8e794-3239-489e-b3af-52a76fe8c0a2"/>
    <ds:schemaRef ds:uri="a7eae3b1-5f3a-45ca-8f76-af9df1df69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Objetivos</vt:lpstr>
      <vt:lpstr>Comunicaciones </vt:lpstr>
      <vt:lpstr>Hoja1</vt:lpstr>
      <vt:lpstr>Colaboradores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Patiño Zuluaga</dc:creator>
  <cp:keywords/>
  <dc:description/>
  <cp:lastModifiedBy>TEJADA PINEDA KEYLA TATIANA</cp:lastModifiedBy>
  <cp:revision/>
  <dcterms:created xsi:type="dcterms:W3CDTF">2024-04-09T19:47:09Z</dcterms:created>
  <dcterms:modified xsi:type="dcterms:W3CDTF">2026-04-19T13:35:08Z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0x010100B396CD0D0AFF024B986EAAF280E7FCC5</vt:lpwstr>
  </property>
  <property fmtid="{D5CDD505-2E9C-101B-9397-08002B2CF9AE}" pid="3" name="MediaServiceImageTags">
    <vt:lpwstr/>
  </property>
</Properties>
</file>